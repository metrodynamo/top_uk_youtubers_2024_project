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b86f75dc562b64b/YouTube Portfolio Project/"/>
    </mc:Choice>
  </mc:AlternateContent>
  <xr:revisionPtr revIDLastSave="24" documentId="8_{C3A855B4-BB0B-4A20-8A99-78A97ADA1B75}" xr6:coauthVersionLast="47" xr6:coauthVersionMax="47" xr10:uidLastSave="{116495F5-1111-4F71-BA67-F09D0F4291FC}"/>
  <bookViews>
    <workbookView xWindow="28680" yWindow="-120" windowWidth="29040" windowHeight="15720" xr2:uid="{CBC98B70-2494-45E5-BF83-833839A01503}"/>
  </bookViews>
  <sheets>
    <sheet name="total subs analysi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18" i="1"/>
  <c r="C19" i="1"/>
  <c r="C20" i="1"/>
  <c r="C18" i="1"/>
  <c r="B19" i="1"/>
  <c r="B20" i="1"/>
  <c r="B18" i="1"/>
  <c r="A19" i="1"/>
  <c r="A20" i="1"/>
  <c r="A18" i="1"/>
  <c r="D10" i="1"/>
  <c r="F10" i="1" s="1"/>
  <c r="D11" i="1"/>
  <c r="F11" i="1" s="1"/>
  <c r="H11" i="1" s="1"/>
  <c r="D12" i="1"/>
  <c r="F12" i="1" s="1"/>
  <c r="H12" i="1" s="1"/>
  <c r="H10" i="1" l="1"/>
</calcChain>
</file>

<file path=xl/sharedStrings.xml><?xml version="1.0" encoding="utf-8"?>
<sst xmlns="http://schemas.openxmlformats.org/spreadsheetml/2006/main" count="22" uniqueCount="22">
  <si>
    <t>Total Subscribers Analysis</t>
  </si>
  <si>
    <t>Reconciliations (Excel vs SQL)</t>
  </si>
  <si>
    <t>Channel Name</t>
  </si>
  <si>
    <t xml:space="preserve">Avg Views per Vid (Excel) </t>
  </si>
  <si>
    <t xml:space="preserve">Avg Views per Vid (SQL) </t>
  </si>
  <si>
    <t>Potential Product Sales per Video (Excel)</t>
  </si>
  <si>
    <t>Potential Product Sales per Video (SQL)</t>
  </si>
  <si>
    <t>Net Profit (Excel)</t>
  </si>
  <si>
    <t>Net Profit (SQL)</t>
  </si>
  <si>
    <t>Conversion Rate</t>
  </si>
  <si>
    <t>Product Cost</t>
  </si>
  <si>
    <t>Campaign Cost</t>
  </si>
  <si>
    <t>NoCopyright Sounds</t>
  </si>
  <si>
    <t>DanTDM</t>
  </si>
  <si>
    <t>Dan Rhodes</t>
  </si>
  <si>
    <t>Potential Revenue per Video ($USD) (Excel)</t>
  </si>
  <si>
    <t>Potential Revenue per Video ($USD) (SQL)</t>
  </si>
  <si>
    <t xml:space="preserve">Avg Views per Vid </t>
  </si>
  <si>
    <t xml:space="preserve">Potential Product Sales per Video </t>
  </si>
  <si>
    <t>Net Profit</t>
  </si>
  <si>
    <t>Potential Revenue per Video ($USD)</t>
  </si>
  <si>
    <t>Difference
 (Excel vs SQL)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</si>
</sst>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DACE6"/>
        <bgColor indexed="64"/>
      </patternFill>
    </fill>
  </fills>
  <borders count="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24">
    <xf numFmtId="0" fontId="0" fillId="0" borderId="0" xfId="0"/>
    <xf numFmtId="164" fontId="0" fillId="0" borderId="2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164" fontId="4" fillId="4" borderId="2" xfId="1" applyNumberFormat="1" applyFont="1" applyFill="1" applyBorder="1" applyAlignment="1">
      <alignment horizontal="center" wrapText="1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center" wrapText="1"/>
    </xf>
    <xf numFmtId="164" fontId="0" fillId="0" borderId="2" xfId="1" applyNumberFormat="1" applyFont="1" applyBorder="1"/>
    <xf numFmtId="164" fontId="3" fillId="3" borderId="2" xfId="1" applyNumberFormat="1" applyFont="1" applyFill="1" applyBorder="1" applyAlignment="1">
      <alignment horizontal="center" wrapText="1"/>
    </xf>
    <xf numFmtId="164" fontId="2" fillId="2" borderId="2" xfId="1" applyNumberFormat="1" applyFont="1" applyFill="1" applyBorder="1" applyAlignment="1">
      <alignment horizontal="center" wrapText="1"/>
    </xf>
    <xf numFmtId="164" fontId="1" fillId="5" borderId="1" xfId="1" applyNumberFormat="1" applyFill="1" applyBorder="1" applyAlignment="1">
      <alignment horizontal="center" wrapText="1"/>
    </xf>
    <xf numFmtId="164" fontId="4" fillId="4" borderId="3" xfId="1" applyNumberFormat="1" applyFont="1" applyFill="1" applyBorder="1" applyAlignment="1">
      <alignment horizontal="center" wrapText="1"/>
    </xf>
    <xf numFmtId="164" fontId="0" fillId="0" borderId="2" xfId="1" applyNumberFormat="1" applyFont="1" applyBorder="1" applyAlignment="1">
      <alignment horizontal="right" wrapText="1"/>
    </xf>
    <xf numFmtId="164" fontId="1" fillId="5" borderId="2" xfId="1" applyNumberFormat="1" applyFill="1" applyBorder="1" applyAlignment="1">
      <alignment wrapText="1"/>
    </xf>
    <xf numFmtId="164" fontId="0" fillId="0" borderId="0" xfId="1" applyNumberFormat="1" applyFont="1" applyAlignment="1">
      <alignment horizontal="right" wrapText="1"/>
    </xf>
    <xf numFmtId="164" fontId="0" fillId="0" borderId="0" xfId="1" applyNumberFormat="1" applyFont="1" applyAlignment="1">
      <alignment horizontal="center" wrapText="1"/>
    </xf>
    <xf numFmtId="164" fontId="0" fillId="0" borderId="0" xfId="1" applyNumberFormat="1" applyFont="1" applyAlignment="1">
      <alignment horizontal="center"/>
    </xf>
    <xf numFmtId="164" fontId="6" fillId="7" borderId="6" xfId="1" applyNumberFormat="1" applyFont="1" applyFill="1" applyBorder="1" applyAlignment="1">
      <alignment horizontal="center"/>
    </xf>
    <xf numFmtId="164" fontId="6" fillId="7" borderId="7" xfId="1" applyNumberFormat="1" applyFont="1" applyFill="1" applyBorder="1" applyAlignment="1">
      <alignment horizontal="center"/>
    </xf>
    <xf numFmtId="164" fontId="3" fillId="3" borderId="3" xfId="1" applyNumberFormat="1" applyFont="1" applyFill="1" applyBorder="1" applyAlignment="1">
      <alignment horizontal="center" wrapText="1"/>
    </xf>
    <xf numFmtId="164" fontId="2" fillId="2" borderId="3" xfId="1" applyNumberFormat="1" applyFont="1" applyFill="1" applyBorder="1" applyAlignment="1">
      <alignment horizontal="center" wrapText="1"/>
    </xf>
    <xf numFmtId="164" fontId="1" fillId="5" borderId="4" xfId="1" applyNumberFormat="1" applyFill="1" applyBorder="1" applyAlignment="1">
      <alignment horizontal="center" wrapText="1"/>
    </xf>
    <xf numFmtId="164" fontId="6" fillId="7" borderId="5" xfId="1" applyNumberFormat="1" applyFont="1" applyFill="1" applyBorder="1" applyAlignment="1">
      <alignment horizontal="center" wrapText="1"/>
    </xf>
    <xf numFmtId="164" fontId="7" fillId="6" borderId="0" xfId="1" applyNumberFormat="1" applyFont="1" applyFill="1" applyAlignment="1">
      <alignment horizontal="center" wrapText="1"/>
    </xf>
    <xf numFmtId="164" fontId="8" fillId="2" borderId="2" xfId="2" applyNumberFormat="1" applyFont="1" applyBorder="1"/>
  </cellXfs>
  <cellStyles count="3">
    <cellStyle name="Comma" xfId="1" builtinId="3"/>
    <cellStyle name="Good" xfId="2" builtinId="26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DACE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36340-4248-4886-844A-0513E2A2C847}">
  <dimension ref="A1:J20"/>
  <sheetViews>
    <sheetView tabSelected="1" workbookViewId="0">
      <selection activeCell="I17" sqref="I17"/>
    </sheetView>
  </sheetViews>
  <sheetFormatPr defaultRowHeight="14.4" x14ac:dyDescent="0.3"/>
  <cols>
    <col min="1" max="1" width="18.44140625" style="2" customWidth="1"/>
    <col min="2" max="3" width="15" style="2" customWidth="1"/>
    <col min="4" max="4" width="18.109375" style="13" customWidth="1"/>
    <col min="5" max="7" width="18.109375" style="4" customWidth="1"/>
    <col min="8" max="9" width="15" style="4" customWidth="1"/>
    <col min="10" max="10" width="8.88671875" style="4"/>
    <col min="11" max="14" width="20.109375" style="4" customWidth="1"/>
    <col min="15" max="15" width="11.109375" style="4" customWidth="1"/>
    <col min="16" max="16384" width="8.88671875" style="4"/>
  </cols>
  <sheetData>
    <row r="1" spans="1:10" ht="23.4" customHeight="1" x14ac:dyDescent="0.45">
      <c r="A1" s="22" t="s">
        <v>0</v>
      </c>
      <c r="B1" s="22"/>
      <c r="C1" s="22"/>
      <c r="D1" s="22"/>
    </row>
    <row r="4" spans="1:10" x14ac:dyDescent="0.3">
      <c r="A4" s="4" t="s">
        <v>1</v>
      </c>
      <c r="C4" s="12" t="s">
        <v>9</v>
      </c>
      <c r="D4" s="11">
        <v>0.02</v>
      </c>
    </row>
    <row r="5" spans="1:10" x14ac:dyDescent="0.3">
      <c r="C5" s="12" t="s">
        <v>10</v>
      </c>
      <c r="D5" s="11">
        <v>5</v>
      </c>
    </row>
    <row r="6" spans="1:10" x14ac:dyDescent="0.3">
      <c r="C6" s="12" t="s">
        <v>11</v>
      </c>
      <c r="D6" s="11">
        <v>50000</v>
      </c>
    </row>
    <row r="8" spans="1:10" ht="15" thickBot="1" x14ac:dyDescent="0.35"/>
    <row r="9" spans="1:10" s="14" customFormat="1" ht="41.4" customHeight="1" thickTop="1" thickBot="1" x14ac:dyDescent="0.35">
      <c r="A9" s="5" t="s">
        <v>2</v>
      </c>
      <c r="B9" s="3" t="s">
        <v>3</v>
      </c>
      <c r="C9" s="3" t="s">
        <v>4</v>
      </c>
      <c r="D9" s="7" t="s">
        <v>5</v>
      </c>
      <c r="E9" s="7" t="s">
        <v>6</v>
      </c>
      <c r="F9" s="8" t="s">
        <v>15</v>
      </c>
      <c r="G9" s="8" t="s">
        <v>16</v>
      </c>
      <c r="H9" s="9" t="s">
        <v>7</v>
      </c>
      <c r="I9" s="9" t="s">
        <v>8</v>
      </c>
    </row>
    <row r="10" spans="1:10" ht="15.6" customHeight="1" thickTop="1" x14ac:dyDescent="0.3">
      <c r="A10" s="1" t="s">
        <v>12</v>
      </c>
      <c r="B10" s="1">
        <v>6920000</v>
      </c>
      <c r="C10" s="1">
        <v>6920000</v>
      </c>
      <c r="D10" s="5">
        <f>B10*$D$4</f>
        <v>138400</v>
      </c>
      <c r="E10" s="6">
        <v>138400</v>
      </c>
      <c r="F10" s="6">
        <f>D10*$D$5</f>
        <v>692000</v>
      </c>
      <c r="G10" s="6">
        <v>692000</v>
      </c>
      <c r="H10" s="6">
        <f>F10-$D$6</f>
        <v>642000</v>
      </c>
      <c r="I10" s="6">
        <v>642000</v>
      </c>
    </row>
    <row r="11" spans="1:10" ht="15.6" customHeight="1" x14ac:dyDescent="0.3">
      <c r="A11" s="1" t="s">
        <v>13</v>
      </c>
      <c r="B11" s="1">
        <v>5340000</v>
      </c>
      <c r="C11" s="1">
        <v>5340000</v>
      </c>
      <c r="D11" s="5">
        <f t="shared" ref="D11:D12" si="0">B11*$D$4</f>
        <v>106800</v>
      </c>
      <c r="E11" s="6">
        <v>106800</v>
      </c>
      <c r="F11" s="6">
        <f t="shared" ref="F11:F12" si="1">D11*$D$5</f>
        <v>534000</v>
      </c>
      <c r="G11" s="6">
        <v>534000</v>
      </c>
      <c r="H11" s="6">
        <f t="shared" ref="H11:H12" si="2">F11-$D$6</f>
        <v>484000</v>
      </c>
      <c r="I11" s="6">
        <v>484000</v>
      </c>
    </row>
    <row r="12" spans="1:10" ht="15.6" customHeight="1" x14ac:dyDescent="0.3">
      <c r="A12" s="1" t="s">
        <v>14</v>
      </c>
      <c r="B12" s="1">
        <v>11150000</v>
      </c>
      <c r="C12" s="1">
        <v>11150000</v>
      </c>
      <c r="D12" s="5">
        <f t="shared" si="0"/>
        <v>223000</v>
      </c>
      <c r="E12" s="6">
        <v>223000</v>
      </c>
      <c r="F12" s="6">
        <f t="shared" si="1"/>
        <v>1115000</v>
      </c>
      <c r="G12" s="6">
        <v>1115000</v>
      </c>
      <c r="H12" s="23">
        <f t="shared" si="2"/>
        <v>1065000</v>
      </c>
      <c r="I12" s="23">
        <v>1065000</v>
      </c>
      <c r="J12" s="15"/>
    </row>
    <row r="16" spans="1:10" ht="40.799999999999997" customHeight="1" x14ac:dyDescent="0.4">
      <c r="A16" s="21" t="s">
        <v>21</v>
      </c>
      <c r="B16" s="16"/>
      <c r="C16" s="16"/>
      <c r="D16" s="17"/>
    </row>
    <row r="17" spans="1:4" ht="43.8" thickBot="1" x14ac:dyDescent="0.35">
      <c r="A17" s="10" t="s">
        <v>17</v>
      </c>
      <c r="B17" s="18" t="s">
        <v>18</v>
      </c>
      <c r="C17" s="19" t="s">
        <v>20</v>
      </c>
      <c r="D17" s="20" t="s">
        <v>19</v>
      </c>
    </row>
    <row r="18" spans="1:4" ht="15" thickTop="1" x14ac:dyDescent="0.3">
      <c r="A18" s="4">
        <f>B10-C10</f>
        <v>0</v>
      </c>
      <c r="B18" s="4">
        <f>D10-E10</f>
        <v>0</v>
      </c>
      <c r="C18" s="4">
        <f>F10-G10</f>
        <v>0</v>
      </c>
      <c r="D18" s="4">
        <f>H10-I10</f>
        <v>0</v>
      </c>
    </row>
    <row r="19" spans="1:4" x14ac:dyDescent="0.3">
      <c r="A19" s="4">
        <f>B11-C11</f>
        <v>0</v>
      </c>
      <c r="B19" s="4">
        <f>D11-E11</f>
        <v>0</v>
      </c>
      <c r="C19" s="4">
        <f>F11-G11</f>
        <v>0</v>
      </c>
      <c r="D19" s="4">
        <f>H11-I11</f>
        <v>0</v>
      </c>
    </row>
    <row r="20" spans="1:4" x14ac:dyDescent="0.3">
      <c r="A20" s="4">
        <f>B12-C12</f>
        <v>0</v>
      </c>
      <c r="B20" s="4">
        <f>D12-E12</f>
        <v>0</v>
      </c>
      <c r="C20" s="4">
        <f>F12-G12</f>
        <v>0</v>
      </c>
      <c r="D20" s="4">
        <f>H12-I12</f>
        <v>0</v>
      </c>
    </row>
  </sheetData>
  <mergeCells count="2">
    <mergeCell ref="A1:D1"/>
    <mergeCell ref="A16:D16"/>
  </mergeCells>
  <phoneticPr fontId="5" type="noConversion"/>
  <conditionalFormatting sqref="A18:D20">
    <cfRule type="cellIs" dxfId="0" priority="1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 subs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Rees</dc:creator>
  <cp:lastModifiedBy>Paula Rees</cp:lastModifiedBy>
  <dcterms:created xsi:type="dcterms:W3CDTF">2026-04-04T23:27:41Z</dcterms:created>
  <dcterms:modified xsi:type="dcterms:W3CDTF">2026-04-06T00:34:51Z</dcterms:modified>
</cp:coreProperties>
</file>