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6b86f75dc562b64b/YouTube Portfolio Project/"/>
    </mc:Choice>
  </mc:AlternateContent>
  <xr:revisionPtr revIDLastSave="25" documentId="8_{C3A855B4-BB0B-4A20-8A99-78A97ADA1B75}" xr6:coauthVersionLast="47" xr6:coauthVersionMax="47" xr10:uidLastSave="{39C63408-EF8A-4547-AB38-FA841FE5F930}"/>
  <bookViews>
    <workbookView xWindow="28680" yWindow="-120" windowWidth="29040" windowHeight="15720" xr2:uid="{CBC98B70-2494-45E5-BF83-833839A01503}"/>
  </bookViews>
  <sheets>
    <sheet name="total subs analysi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9" i="1" l="1"/>
  <c r="A20" i="1"/>
  <c r="A18" i="1"/>
  <c r="D10" i="1"/>
  <c r="F10" i="1" s="1"/>
  <c r="C18" i="1" s="1"/>
  <c r="D11" i="1"/>
  <c r="F11" i="1" s="1"/>
  <c r="H11" i="1" s="1"/>
  <c r="D19" i="1" s="1"/>
  <c r="D12" i="1"/>
  <c r="F12" i="1" s="1"/>
  <c r="H12" i="1" s="1"/>
  <c r="D20" i="1" s="1"/>
  <c r="B18" i="1" l="1"/>
  <c r="B20" i="1"/>
  <c r="C20" i="1"/>
  <c r="C19" i="1"/>
  <c r="B19" i="1"/>
  <c r="H10" i="1"/>
  <c r="D18" i="1" s="1"/>
</calcChain>
</file>

<file path=xl/sharedStrings.xml><?xml version="1.0" encoding="utf-8"?>
<sst xmlns="http://schemas.openxmlformats.org/spreadsheetml/2006/main" count="24" uniqueCount="24">
  <si>
    <t>Total Subscribers Analysis</t>
  </si>
  <si>
    <t>Reconciliations (Excel vs SQL)</t>
  </si>
  <si>
    <t>Channel Name</t>
  </si>
  <si>
    <t xml:space="preserve">Avg Views per Vid (Excel) </t>
  </si>
  <si>
    <t xml:space="preserve">Avg Views per Vid (SQL) </t>
  </si>
  <si>
    <t>Potential Product Sales per Video (Excel)</t>
  </si>
  <si>
    <t>Potential Product Sales per Video (SQL)</t>
  </si>
  <si>
    <t>Net Profit (Excel)</t>
  </si>
  <si>
    <t>Net Profit (SQL)</t>
  </si>
  <si>
    <t>Conversion Rate</t>
  </si>
  <si>
    <t>Product Cost</t>
  </si>
  <si>
    <t>Campaign Cost</t>
  </si>
  <si>
    <t>NoCopyright Sounds</t>
  </si>
  <si>
    <t>DanTDM</t>
  </si>
  <si>
    <t>Dan Rhodes</t>
  </si>
  <si>
    <t>Potential Revenue per Video ($USD) (Excel)</t>
  </si>
  <si>
    <t>Potential Revenue per Video ($USD) (SQL)</t>
  </si>
  <si>
    <t xml:space="preserve">Avg Views per Vid </t>
  </si>
  <si>
    <t xml:space="preserve">Potential Product Sales per Video </t>
  </si>
  <si>
    <t>Net Profit</t>
  </si>
  <si>
    <t>Potential Revenue per Video ($USD)</t>
  </si>
  <si>
    <t>Difference
 (Excel vs SQL)</t>
  </si>
  <si>
    <t>Recommendations</t>
  </si>
  <si>
    <t>Mister Max generates the best ROI based on this deal structure, but it's hard to ignore the net profit the other YouTuber channels generate from this too. It may be worth sructuring a package for all three of these channels and reaching out to their teams for a further conversation into a deal that generates a good return for all parties involved.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</si>
</sst>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8" formatCode="_-* #,##0.00_-;\-* #,##0.00_-;_-* &quot;-&quot;??_-;_-@_-"/>
  </numFmts>
  <fonts count="10" x14ac:knownFonts="1">
    <font>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8"/>
      <name val="Calibri"/>
      <family val="2"/>
      <scheme val="minor"/>
    </font>
    <font>
      <b/>
      <sz val="16"/>
      <color theme="1"/>
      <name val="Calibri"/>
      <family val="2"/>
      <scheme val="minor"/>
    </font>
    <font>
      <b/>
      <sz val="18"/>
      <color theme="1"/>
      <name val="Calibri"/>
      <family val="2"/>
      <scheme val="minor"/>
    </font>
    <font>
      <b/>
      <sz val="11"/>
      <color rgb="FF006100"/>
      <name val="Calibri"/>
      <family val="2"/>
      <scheme val="minor"/>
    </font>
    <font>
      <b/>
      <sz val="11"/>
      <color theme="1"/>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8" tint="0.59999389629810485"/>
        <bgColor indexed="65"/>
      </patternFill>
    </fill>
    <fill>
      <patternFill patternType="solid">
        <fgColor theme="5" tint="0.39997558519241921"/>
        <bgColor indexed="64"/>
      </patternFill>
    </fill>
    <fill>
      <patternFill patternType="solid">
        <fgColor rgb="FFCDACE6"/>
        <bgColor indexed="64"/>
      </patternFill>
    </fill>
  </fills>
  <borders count="8">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double">
        <color rgb="FF3F3F3F"/>
      </left>
      <right style="double">
        <color rgb="FF3F3F3F"/>
      </right>
      <top/>
      <bottom style="double">
        <color rgb="FF3F3F3F"/>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0" fontId="2" fillId="2" borderId="0" applyNumberFormat="0" applyBorder="0" applyAlignment="0" applyProtection="0"/>
    <xf numFmtId="168" fontId="1" fillId="0" borderId="0" applyFont="0" applyFill="0" applyBorder="0" applyAlignment="0" applyProtection="0"/>
  </cellStyleXfs>
  <cellXfs count="26">
    <xf numFmtId="0" fontId="0" fillId="0" borderId="0" xfId="0"/>
    <xf numFmtId="164" fontId="0" fillId="0" borderId="2" xfId="1" applyNumberFormat="1" applyFont="1" applyBorder="1" applyAlignment="1">
      <alignment wrapText="1"/>
    </xf>
    <xf numFmtId="164" fontId="0" fillId="0" borderId="0" xfId="1" applyNumberFormat="1" applyFont="1" applyAlignment="1">
      <alignment wrapText="1"/>
    </xf>
    <xf numFmtId="164" fontId="4" fillId="4" borderId="2" xfId="1" applyNumberFormat="1" applyFont="1" applyFill="1" applyBorder="1" applyAlignment="1">
      <alignment horizontal="center" wrapText="1"/>
    </xf>
    <xf numFmtId="164" fontId="0" fillId="0" borderId="0" xfId="1" applyNumberFormat="1" applyFont="1"/>
    <xf numFmtId="164" fontId="0" fillId="0" borderId="2" xfId="1" applyNumberFormat="1" applyFont="1" applyBorder="1" applyAlignment="1">
      <alignment horizontal="center" wrapText="1"/>
    </xf>
    <xf numFmtId="164" fontId="0" fillId="0" borderId="2" xfId="1" applyNumberFormat="1" applyFont="1" applyBorder="1"/>
    <xf numFmtId="164" fontId="3" fillId="3" borderId="2" xfId="1" applyNumberFormat="1" applyFont="1" applyFill="1" applyBorder="1" applyAlignment="1">
      <alignment horizontal="center" wrapText="1"/>
    </xf>
    <xf numFmtId="164" fontId="2" fillId="2" borderId="2" xfId="1" applyNumberFormat="1" applyFont="1" applyFill="1" applyBorder="1" applyAlignment="1">
      <alignment horizontal="center" wrapText="1"/>
    </xf>
    <xf numFmtId="164" fontId="1" fillId="5" borderId="1" xfId="1" applyNumberFormat="1" applyFill="1" applyBorder="1" applyAlignment="1">
      <alignment horizontal="center" wrapText="1"/>
    </xf>
    <xf numFmtId="164" fontId="4" fillId="4" borderId="3" xfId="1" applyNumberFormat="1" applyFont="1" applyFill="1" applyBorder="1" applyAlignment="1">
      <alignment horizontal="center" wrapText="1"/>
    </xf>
    <xf numFmtId="164" fontId="0" fillId="0" borderId="2" xfId="1" applyNumberFormat="1" applyFont="1" applyBorder="1" applyAlignment="1">
      <alignment horizontal="right" wrapText="1"/>
    </xf>
    <xf numFmtId="164" fontId="1" fillId="5" borderId="2" xfId="1" applyNumberFormat="1" applyFill="1" applyBorder="1" applyAlignment="1">
      <alignment wrapText="1"/>
    </xf>
    <xf numFmtId="164" fontId="0" fillId="0" borderId="0" xfId="1" applyNumberFormat="1" applyFont="1" applyAlignment="1">
      <alignment horizontal="right" wrapText="1"/>
    </xf>
    <xf numFmtId="164" fontId="0" fillId="0" borderId="0" xfId="1" applyNumberFormat="1" applyFont="1" applyAlignment="1">
      <alignment horizontal="center" wrapText="1"/>
    </xf>
    <xf numFmtId="164" fontId="0" fillId="0" borderId="0" xfId="1" applyNumberFormat="1" applyFont="1" applyAlignment="1">
      <alignment horizontal="center"/>
    </xf>
    <xf numFmtId="164" fontId="3" fillId="3" borderId="3" xfId="1" applyNumberFormat="1" applyFont="1" applyFill="1" applyBorder="1" applyAlignment="1">
      <alignment horizontal="center" wrapText="1"/>
    </xf>
    <xf numFmtId="164" fontId="2" fillId="2" borderId="3" xfId="1" applyNumberFormat="1" applyFont="1" applyFill="1" applyBorder="1" applyAlignment="1">
      <alignment horizontal="center" wrapText="1"/>
    </xf>
    <xf numFmtId="164" fontId="1" fillId="5" borderId="4" xfId="1" applyNumberFormat="1" applyFill="1" applyBorder="1" applyAlignment="1">
      <alignment horizontal="center" wrapText="1"/>
    </xf>
    <xf numFmtId="164" fontId="8" fillId="2" borderId="2" xfId="2" applyNumberFormat="1" applyFont="1" applyBorder="1"/>
    <xf numFmtId="164" fontId="7" fillId="6" borderId="0" xfId="1" applyNumberFormat="1" applyFont="1" applyFill="1" applyAlignment="1">
      <alignment horizontal="center" wrapText="1"/>
    </xf>
    <xf numFmtId="164" fontId="6" fillId="7" borderId="5" xfId="1" applyNumberFormat="1" applyFont="1" applyFill="1" applyBorder="1" applyAlignment="1">
      <alignment horizontal="center" wrapText="1"/>
    </xf>
    <xf numFmtId="164" fontId="6" fillId="7" borderId="6" xfId="1" applyNumberFormat="1" applyFont="1" applyFill="1" applyBorder="1" applyAlignment="1">
      <alignment horizontal="center"/>
    </xf>
    <xf numFmtId="164" fontId="6" fillId="7" borderId="7" xfId="1" applyNumberFormat="1" applyFont="1" applyFill="1" applyBorder="1" applyAlignment="1">
      <alignment horizontal="center"/>
    </xf>
    <xf numFmtId="0" fontId="0" fillId="0" borderId="0" xfId="0" applyAlignment="1">
      <alignment horizontal="center" vertical="center" wrapText="1"/>
    </xf>
    <xf numFmtId="164" fontId="9" fillId="0" borderId="0" xfId="1" applyNumberFormat="1" applyFont="1" applyAlignment="1">
      <alignment wrapText="1"/>
    </xf>
  </cellXfs>
  <cellStyles count="4">
    <cellStyle name="Comma" xfId="1" builtinId="3"/>
    <cellStyle name="Comma 2" xfId="3" xr:uid="{B7E91916-2D2B-4F0B-82A5-C5ACA11F8D8E}"/>
    <cellStyle name="Good" xfId="2" builtinId="26"/>
    <cellStyle name="Normal" xfId="0" builtinId="0"/>
  </cellStyles>
  <dxfs count="1">
    <dxf>
      <fill>
        <patternFill>
          <bgColor rgb="FFFF0000"/>
        </patternFill>
      </fill>
    </dxf>
  </dxfs>
  <tableStyles count="0" defaultTableStyle="TableStyleMedium2" defaultPivotStyle="PivotStyleLight16"/>
  <colors>
    <mruColors>
      <color rgb="FFCDACE6"/>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36340-4248-4886-844A-0513E2A2C847}">
  <dimension ref="A1:J29"/>
  <sheetViews>
    <sheetView tabSelected="1" workbookViewId="0">
      <selection activeCell="F15" sqref="F15"/>
    </sheetView>
  </sheetViews>
  <sheetFormatPr defaultRowHeight="14.4" x14ac:dyDescent="0.3"/>
  <cols>
    <col min="1" max="1" width="18.44140625" style="2" customWidth="1"/>
    <col min="2" max="3" width="15" style="2" customWidth="1"/>
    <col min="4" max="4" width="18.109375" style="13" customWidth="1"/>
    <col min="5" max="7" width="18.109375" style="4" customWidth="1"/>
    <col min="8" max="9" width="15" style="4" customWidth="1"/>
    <col min="10" max="10" width="8.88671875" style="4"/>
    <col min="11" max="14" width="20.109375" style="4" customWidth="1"/>
    <col min="15" max="15" width="11.109375" style="4" customWidth="1"/>
    <col min="16" max="16384" width="8.88671875" style="4"/>
  </cols>
  <sheetData>
    <row r="1" spans="1:10" ht="23.4" customHeight="1" x14ac:dyDescent="0.45">
      <c r="A1" s="20" t="s">
        <v>0</v>
      </c>
      <c r="B1" s="20"/>
      <c r="C1" s="20"/>
      <c r="D1" s="20"/>
    </row>
    <row r="4" spans="1:10" x14ac:dyDescent="0.3">
      <c r="A4" s="4" t="s">
        <v>1</v>
      </c>
      <c r="C4" s="12" t="s">
        <v>9</v>
      </c>
      <c r="D4" s="11">
        <v>0.02</v>
      </c>
    </row>
    <row r="5" spans="1:10" x14ac:dyDescent="0.3">
      <c r="C5" s="12" t="s">
        <v>10</v>
      </c>
      <c r="D5" s="11">
        <v>5</v>
      </c>
    </row>
    <row r="6" spans="1:10" x14ac:dyDescent="0.3">
      <c r="C6" s="12" t="s">
        <v>11</v>
      </c>
      <c r="D6" s="11">
        <v>50000</v>
      </c>
    </row>
    <row r="8" spans="1:10" ht="15" thickBot="1" x14ac:dyDescent="0.35"/>
    <row r="9" spans="1:10" s="14" customFormat="1" ht="41.4" customHeight="1" thickTop="1" thickBot="1" x14ac:dyDescent="0.35">
      <c r="A9" s="5" t="s">
        <v>2</v>
      </c>
      <c r="B9" s="3" t="s">
        <v>3</v>
      </c>
      <c r="C9" s="3" t="s">
        <v>4</v>
      </c>
      <c r="D9" s="7" t="s">
        <v>5</v>
      </c>
      <c r="E9" s="7" t="s">
        <v>6</v>
      </c>
      <c r="F9" s="8" t="s">
        <v>15</v>
      </c>
      <c r="G9" s="8" t="s">
        <v>16</v>
      </c>
      <c r="H9" s="9" t="s">
        <v>7</v>
      </c>
      <c r="I9" s="9" t="s">
        <v>8</v>
      </c>
    </row>
    <row r="10" spans="1:10" ht="15.6" customHeight="1" thickTop="1" x14ac:dyDescent="0.3">
      <c r="A10" s="1" t="s">
        <v>12</v>
      </c>
      <c r="B10" s="1">
        <v>6920000</v>
      </c>
      <c r="C10" s="1">
        <v>6920000</v>
      </c>
      <c r="D10" s="5">
        <f>B10*$D$4</f>
        <v>138400</v>
      </c>
      <c r="E10" s="6">
        <v>138400</v>
      </c>
      <c r="F10" s="6">
        <f>D10*$D$5</f>
        <v>692000</v>
      </c>
      <c r="G10" s="6">
        <v>692000</v>
      </c>
      <c r="H10" s="6">
        <f>F10-$D$6</f>
        <v>642000</v>
      </c>
      <c r="I10" s="6">
        <v>642000</v>
      </c>
    </row>
    <row r="11" spans="1:10" ht="15.6" customHeight="1" x14ac:dyDescent="0.3">
      <c r="A11" s="1" t="s">
        <v>13</v>
      </c>
      <c r="B11" s="1">
        <v>5340000</v>
      </c>
      <c r="C11" s="1">
        <v>5340000</v>
      </c>
      <c r="D11" s="5">
        <f t="shared" ref="D11:D12" si="0">B11*$D$4</f>
        <v>106800</v>
      </c>
      <c r="E11" s="6">
        <v>106800</v>
      </c>
      <c r="F11" s="6">
        <f t="shared" ref="F11:F12" si="1">D11*$D$5</f>
        <v>534000</v>
      </c>
      <c r="G11" s="6">
        <v>534000</v>
      </c>
      <c r="H11" s="6">
        <f t="shared" ref="H11:H12" si="2">F11-$D$6</f>
        <v>484000</v>
      </c>
      <c r="I11" s="6">
        <v>484000</v>
      </c>
    </row>
    <row r="12" spans="1:10" ht="15.6" customHeight="1" x14ac:dyDescent="0.3">
      <c r="A12" s="1" t="s">
        <v>14</v>
      </c>
      <c r="B12" s="1">
        <v>11150000</v>
      </c>
      <c r="C12" s="1">
        <v>11150000</v>
      </c>
      <c r="D12" s="5">
        <f t="shared" si="0"/>
        <v>223000</v>
      </c>
      <c r="E12" s="6">
        <v>223000</v>
      </c>
      <c r="F12" s="6">
        <f t="shared" si="1"/>
        <v>1115000</v>
      </c>
      <c r="G12" s="6">
        <v>1115000</v>
      </c>
      <c r="H12" s="19">
        <f t="shared" si="2"/>
        <v>1065000</v>
      </c>
      <c r="I12" s="19">
        <v>1065000</v>
      </c>
      <c r="J12" s="15"/>
    </row>
    <row r="16" spans="1:10" ht="40.799999999999997" customHeight="1" x14ac:dyDescent="0.4">
      <c r="A16" s="21" t="s">
        <v>21</v>
      </c>
      <c r="B16" s="22"/>
      <c r="C16" s="22"/>
      <c r="D16" s="23"/>
    </row>
    <row r="17" spans="1:7" ht="43.8" thickBot="1" x14ac:dyDescent="0.35">
      <c r="A17" s="10" t="s">
        <v>17</v>
      </c>
      <c r="B17" s="16" t="s">
        <v>18</v>
      </c>
      <c r="C17" s="17" t="s">
        <v>20</v>
      </c>
      <c r="D17" s="18" t="s">
        <v>19</v>
      </c>
    </row>
    <row r="18" spans="1:7" ht="15" thickTop="1" x14ac:dyDescent="0.3">
      <c r="A18" s="4">
        <f>B10-C10</f>
        <v>0</v>
      </c>
      <c r="B18" s="4">
        <f>D10-E10</f>
        <v>0</v>
      </c>
      <c r="C18" s="4">
        <f>F10-G10</f>
        <v>0</v>
      </c>
      <c r="D18" s="4">
        <f>H10-I10</f>
        <v>0</v>
      </c>
    </row>
    <row r="19" spans="1:7" x14ac:dyDescent="0.3">
      <c r="A19" s="4">
        <f>B11-C11</f>
        <v>0</v>
      </c>
      <c r="B19" s="4">
        <f>D11-E11</f>
        <v>0</v>
      </c>
      <c r="C19" s="4">
        <f>F11-G11</f>
        <v>0</v>
      </c>
      <c r="D19" s="4">
        <f>H11-I11</f>
        <v>0</v>
      </c>
    </row>
    <row r="20" spans="1:7" x14ac:dyDescent="0.3">
      <c r="A20" s="4">
        <f>B12-C12</f>
        <v>0</v>
      </c>
      <c r="B20" s="4">
        <f>D12-E12</f>
        <v>0</v>
      </c>
      <c r="C20" s="4">
        <f>F12-G12</f>
        <v>0</v>
      </c>
      <c r="D20" s="4">
        <f>H12-I12</f>
        <v>0</v>
      </c>
    </row>
    <row r="22" spans="1:7" x14ac:dyDescent="0.3">
      <c r="A22" s="25" t="s">
        <v>22</v>
      </c>
    </row>
    <row r="24" spans="1:7" ht="14.4" customHeight="1" x14ac:dyDescent="0.3">
      <c r="A24" s="24" t="s">
        <v>23</v>
      </c>
      <c r="B24" s="24"/>
      <c r="C24" s="24"/>
      <c r="D24" s="24"/>
      <c r="E24" s="24"/>
      <c r="F24" s="24"/>
      <c r="G24" s="24"/>
    </row>
    <row r="25" spans="1:7" x14ac:dyDescent="0.3">
      <c r="A25" s="24"/>
      <c r="B25" s="24"/>
      <c r="C25" s="24"/>
      <c r="D25" s="24"/>
      <c r="E25" s="24"/>
      <c r="F25" s="24"/>
      <c r="G25" s="24"/>
    </row>
    <row r="26" spans="1:7" x14ac:dyDescent="0.3">
      <c r="A26" s="24"/>
      <c r="B26" s="24"/>
      <c r="C26" s="24"/>
      <c r="D26" s="24"/>
      <c r="E26" s="24"/>
      <c r="F26" s="24"/>
      <c r="G26" s="24"/>
    </row>
    <row r="27" spans="1:7" x14ac:dyDescent="0.3">
      <c r="A27" s="24"/>
      <c r="B27" s="24"/>
      <c r="C27" s="24"/>
      <c r="D27" s="24"/>
      <c r="E27" s="24"/>
      <c r="F27" s="24"/>
      <c r="G27" s="24"/>
    </row>
    <row r="28" spans="1:7" x14ac:dyDescent="0.3">
      <c r="A28" s="24"/>
      <c r="B28" s="24"/>
      <c r="C28" s="24"/>
      <c r="D28" s="24"/>
      <c r="E28" s="24"/>
      <c r="F28" s="24"/>
      <c r="G28" s="24"/>
    </row>
    <row r="29" spans="1:7" x14ac:dyDescent="0.3">
      <c r="A29" s="24"/>
      <c r="B29" s="24"/>
      <c r="C29" s="24"/>
      <c r="D29" s="24"/>
      <c r="E29" s="24"/>
      <c r="F29" s="24"/>
      <c r="G29" s="24"/>
    </row>
  </sheetData>
  <mergeCells count="3">
    <mergeCell ref="A24:G29"/>
    <mergeCell ref="A1:D1"/>
    <mergeCell ref="A16:D16"/>
  </mergeCells>
  <phoneticPr fontId="5" type="noConversion"/>
  <conditionalFormatting sqref="A18:D20">
    <cfRule type="cellIs" dxfId="0" priority="1" operator="notEqual">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total subs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Paula Rees</dc:creator>
  <cp:lastModifiedBy>Paula Rees</cp:lastModifiedBy>
  <dcterms:created xsi:type="dcterms:W3CDTF">2026-04-04T23:27:41Z</dcterms:created>
  <dcterms:modified xsi:type="dcterms:W3CDTF">2026-04-08T21:19:56Z</dcterms:modified>
</cp:coreProperties>
</file>